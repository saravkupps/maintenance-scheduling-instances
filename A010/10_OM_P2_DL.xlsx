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codeName="ThisWorkbook" defaultThemeVersion="124226"/>
  <xr:revisionPtr revIDLastSave="0" documentId="13_ncr:1_{42083240-C7A1-4317-8EBE-DD2B97B07B82}" xr6:coauthVersionLast="47" xr6:coauthVersionMax="47" xr10:uidLastSave="{00000000-0000-0000-0000-000000000000}"/>
  <bookViews>
    <workbookView xWindow="-28920" yWindow="-120" windowWidth="29040" windowHeight="15840" activeTab="2" xr2:uid="{00000000-000D-0000-FFFF-FFFF00000000}"/>
  </bookViews>
  <sheets>
    <sheet name="PrivateLines" sheetId="2" r:id="rId1"/>
    <sheet name="Spans" sheetId="3" r:id="rId2"/>
    <sheet name="ActivityData" sheetId="4" r:id="rId3"/>
  </sheets>
  <definedNames>
    <definedName name="_xlnm._FilterDatabase" localSheetId="2" hidden="1">ActivityData!$A$1:$J$11</definedName>
    <definedName name="ActivityData">ActivityData!$A$1:$J$11</definedName>
    <definedName name="PrivateLines">PrivateLines!$A$1:$A$2</definedName>
    <definedName name="Spans">Spans!$A$1:$A$3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4" l="1"/>
  <c r="H6" i="4"/>
  <c r="H7" i="4"/>
  <c r="H8" i="4"/>
  <c r="H9" i="4"/>
  <c r="H10" i="4"/>
  <c r="H11" i="4"/>
  <c r="H4" i="4"/>
  <c r="H2" i="4"/>
  <c r="F2" i="4"/>
  <c r="F3" i="4"/>
  <c r="F4" i="4"/>
  <c r="F5" i="4"/>
  <c r="F6" i="4"/>
  <c r="F7" i="4"/>
  <c r="F8" i="4"/>
  <c r="F9" i="4"/>
  <c r="F10" i="4"/>
  <c r="F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Author:
UNIF[1,4]</t>
        </r>
      </text>
    </comment>
    <comment ref="C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Author
Outage = D mins</t>
        </r>
      </text>
    </comment>
    <comment ref="H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Author:
If there is no predecessor ( i.e., predecessor = -1), then delay 0; If there is a predecessor, then delay = U[1,3]</t>
        </r>
      </text>
    </comment>
    <comment ref="J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penalty of not scheduling activity within the planning horizon</t>
        </r>
      </text>
    </comment>
  </commentList>
</comments>
</file>

<file path=xl/sharedStrings.xml><?xml version="1.0" encoding="utf-8"?>
<sst xmlns="http://schemas.openxmlformats.org/spreadsheetml/2006/main" count="19" uniqueCount="14">
  <si>
    <t>ActivityID</t>
  </si>
  <si>
    <t>PrivateLinesID</t>
  </si>
  <si>
    <t>SpanID</t>
  </si>
  <si>
    <t>Duration</t>
  </si>
  <si>
    <t>Outage</t>
  </si>
  <si>
    <t>Category</t>
  </si>
  <si>
    <t>Predecessor</t>
  </si>
  <si>
    <t>Delay</t>
  </si>
  <si>
    <t>PrivatelineID</t>
  </si>
  <si>
    <t>fi</t>
  </si>
  <si>
    <t>Tci</t>
  </si>
  <si>
    <t>Activity,Predecessor 1,-1 2,-1 3,-1 4,3 5,-1 6,-1 7,-1 8,-1 9,8 10,-1</t>
  </si>
  <si>
    <t>20% precedence</t>
  </si>
  <si>
    <t>40% precedence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</si>
</sst>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111827"/>
      <name val="Courier New"/>
      <family val="3"/>
    </font>
    <font>
      <sz val="11"/>
      <color rgb="FFFFFFFF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4" xfId="0" applyFill="1" applyBorder="1"/>
    <xf numFmtId="0" fontId="0" fillId="2" borderId="0" xfId="0" applyFill="1"/>
    <xf numFmtId="0" fontId="0" fillId="2" borderId="6" xfId="0" applyFill="1" applyBorder="1"/>
    <xf numFmtId="0" fontId="0" fillId="2" borderId="7" xfId="0" applyFill="1" applyBorder="1"/>
    <xf numFmtId="0" fontId="0" fillId="2" borderId="5" xfId="0" applyFill="1" applyBorder="1"/>
    <xf numFmtId="0" fontId="0" fillId="2" borderId="8" xfId="0" applyFill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0" fillId="3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2"/>
  <sheetViews>
    <sheetView workbookViewId="0">
      <selection activeCell="G17" sqref="G17"/>
    </sheetView>
  </sheetViews>
  <sheetFormatPr defaultRowHeight="15" x14ac:dyDescent="0.25"/>
  <cols>
    <col min="1" max="1" width="13.85546875" bestFit="1" customWidth="1"/>
  </cols>
  <sheetData>
    <row r="1" spans="1:1" x14ac:dyDescent="0.25">
      <c r="A1" t="s">
        <v>1</v>
      </c>
    </row>
    <row r="2" spans="1:1" x14ac:dyDescent="0.25">
      <c r="A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>
      <selection activeCell="A4" sqref="A4:XFD4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1</v>
      </c>
    </row>
    <row r="3" spans="1:1" x14ac:dyDescent="0.25">
      <c r="A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12"/>
  <sheetViews>
    <sheetView tabSelected="1" zoomScale="210" zoomScaleNormal="210" workbookViewId="0">
      <pane ySplit="1" topLeftCell="A2" activePane="bottomLeft" state="frozen"/>
      <selection pane="bottomLeft" activeCell="I15" sqref="I15"/>
    </sheetView>
  </sheetViews>
  <sheetFormatPr defaultRowHeight="15" x14ac:dyDescent="0.25"/>
  <cols>
    <col min="2" max="2" width="9.85546875" bestFit="1" customWidth="1"/>
    <col min="3" max="3" width="8.140625" bestFit="1" customWidth="1"/>
    <col min="5" max="5" width="8.85546875" bestFit="1" customWidth="1"/>
    <col min="6" max="6" width="5.85546875" bestFit="1" customWidth="1"/>
    <col min="7" max="7" width="11.85546875" bestFit="1" customWidth="1"/>
    <col min="9" max="9" width="13.85546875" bestFit="1" customWidth="1"/>
    <col min="10" max="10" width="5.28515625" bestFit="1" customWidth="1"/>
    <col min="14" max="14" width="18" bestFit="1" customWidth="1"/>
    <col min="16" max="16" width="11.85546875" bestFit="1" customWidth="1"/>
    <col min="20" max="20" width="11.85546875" bestFit="1" customWidth="1"/>
  </cols>
  <sheetData>
    <row r="1" spans="1:20" x14ac:dyDescent="0.25">
      <c r="A1" t="s">
        <v>0</v>
      </c>
      <c r="B1" t="s">
        <v>3</v>
      </c>
      <c r="C1" t="s">
        <v>4</v>
      </c>
      <c r="D1" t="s">
        <v>2</v>
      </c>
      <c r="E1" s="12" t="s">
        <v>5</v>
      </c>
      <c r="F1" t="s">
        <v>10</v>
      </c>
      <c r="G1" t="s">
        <v>6</v>
      </c>
      <c r="H1" s="12" t="s">
        <v>7</v>
      </c>
      <c r="I1" t="s">
        <v>8</v>
      </c>
      <c r="J1" t="s">
        <v>9</v>
      </c>
      <c r="O1" s="17" t="s">
        <v>12</v>
      </c>
      <c r="P1" s="17"/>
      <c r="S1" s="17" t="s">
        <v>13</v>
      </c>
      <c r="T1" s="17"/>
    </row>
    <row r="2" spans="1:20" x14ac:dyDescent="0.25">
      <c r="A2" s="1">
        <v>1</v>
      </c>
      <c r="B2" s="2">
        <v>6</v>
      </c>
      <c r="C2" s="2">
        <v>3</v>
      </c>
      <c r="D2" s="2">
        <v>1</v>
      </c>
      <c r="E2" s="2">
        <v>1</v>
      </c>
      <c r="F2" s="2">
        <f t="shared" ref="F2:F11" si="0">IF(OR(E2=1,E2=2),72,IF(OR(E2=3,E2=4),12,IF(E2=5,Time_Horizon)))</f>
        <v>72</v>
      </c>
      <c r="G2" s="2">
        <v>-1</v>
      </c>
      <c r="H2" s="2">
        <f>IF(G2&gt;0, 2,0)</f>
        <v>0</v>
      </c>
      <c r="I2" s="3">
        <v>1</v>
      </c>
      <c r="J2" s="3">
        <v>3000</v>
      </c>
      <c r="O2" t="s">
        <v>0</v>
      </c>
      <c r="P2" t="s">
        <v>6</v>
      </c>
      <c r="S2" t="s">
        <v>0</v>
      </c>
      <c r="T2" t="s">
        <v>6</v>
      </c>
    </row>
    <row r="3" spans="1:20" x14ac:dyDescent="0.25">
      <c r="A3" s="4">
        <v>2</v>
      </c>
      <c r="B3">
        <v>3</v>
      </c>
      <c r="C3">
        <v>2</v>
      </c>
      <c r="D3">
        <v>1</v>
      </c>
      <c r="E3">
        <v>1</v>
      </c>
      <c r="F3">
        <f t="shared" si="0"/>
        <v>72</v>
      </c>
      <c r="G3">
        <v>-1</v>
      </c>
      <c r="H3">
        <v>0</v>
      </c>
      <c r="I3" s="5">
        <v>1</v>
      </c>
      <c r="J3" s="5">
        <v>3000</v>
      </c>
      <c r="O3" s="13">
        <v>1</v>
      </c>
      <c r="P3">
        <v>-1</v>
      </c>
      <c r="Q3" s="14" t="s">
        <v>11</v>
      </c>
      <c r="S3" s="13">
        <v>1</v>
      </c>
      <c r="T3">
        <v>-1</v>
      </c>
    </row>
    <row r="4" spans="1:20" x14ac:dyDescent="0.25">
      <c r="A4" s="4">
        <v>3</v>
      </c>
      <c r="B4">
        <v>2</v>
      </c>
      <c r="C4">
        <v>2</v>
      </c>
      <c r="D4">
        <v>1</v>
      </c>
      <c r="E4">
        <v>1</v>
      </c>
      <c r="F4">
        <f t="shared" si="0"/>
        <v>72</v>
      </c>
      <c r="G4">
        <v>-1</v>
      </c>
      <c r="H4">
        <f>IF(G4&gt;0, 2,0)</f>
        <v>0</v>
      </c>
      <c r="I4" s="5">
        <v>1</v>
      </c>
      <c r="J4" s="5">
        <v>3000</v>
      </c>
      <c r="O4" s="13">
        <v>2</v>
      </c>
      <c r="P4">
        <v>-1</v>
      </c>
      <c r="S4" s="13">
        <v>2</v>
      </c>
      <c r="T4">
        <v>-1</v>
      </c>
    </row>
    <row r="5" spans="1:20" x14ac:dyDescent="0.25">
      <c r="A5" s="4">
        <v>4</v>
      </c>
      <c r="B5">
        <v>4</v>
      </c>
      <c r="C5">
        <v>5</v>
      </c>
      <c r="D5">
        <v>1</v>
      </c>
      <c r="E5">
        <v>1</v>
      </c>
      <c r="F5">
        <f t="shared" si="0"/>
        <v>72</v>
      </c>
      <c r="G5">
        <v>6</v>
      </c>
      <c r="H5">
        <f t="shared" ref="H5:H11" si="1">IF(G5&gt;0, 2,0)</f>
        <v>2</v>
      </c>
      <c r="I5" s="5">
        <v>1</v>
      </c>
      <c r="J5" s="5">
        <v>3000</v>
      </c>
      <c r="O5" s="13">
        <v>3</v>
      </c>
      <c r="P5">
        <v>-1</v>
      </c>
      <c r="S5" s="15">
        <v>3</v>
      </c>
      <c r="T5" s="16">
        <v>1</v>
      </c>
    </row>
    <row r="6" spans="1:20" x14ac:dyDescent="0.25">
      <c r="A6" s="4">
        <v>5</v>
      </c>
      <c r="B6">
        <v>5</v>
      </c>
      <c r="C6">
        <v>3</v>
      </c>
      <c r="D6">
        <v>1</v>
      </c>
      <c r="E6">
        <v>1</v>
      </c>
      <c r="F6">
        <f t="shared" si="0"/>
        <v>72</v>
      </c>
      <c r="G6">
        <v>-1</v>
      </c>
      <c r="H6">
        <f t="shared" si="1"/>
        <v>0</v>
      </c>
      <c r="I6" s="5">
        <v>1</v>
      </c>
      <c r="J6" s="5">
        <v>3000</v>
      </c>
      <c r="O6" s="15">
        <v>4</v>
      </c>
      <c r="P6" s="16">
        <v>6</v>
      </c>
      <c r="S6" s="15">
        <v>4</v>
      </c>
      <c r="T6" s="16">
        <v>6</v>
      </c>
    </row>
    <row r="7" spans="1:20" x14ac:dyDescent="0.25">
      <c r="A7" s="6">
        <v>6</v>
      </c>
      <c r="B7" s="7">
        <v>1</v>
      </c>
      <c r="C7" s="7">
        <v>5</v>
      </c>
      <c r="D7" s="7">
        <v>2</v>
      </c>
      <c r="E7" s="7">
        <v>1</v>
      </c>
      <c r="F7" s="7">
        <f t="shared" si="0"/>
        <v>72</v>
      </c>
      <c r="G7" s="7">
        <v>-1</v>
      </c>
      <c r="H7" s="7">
        <f t="shared" si="1"/>
        <v>0</v>
      </c>
      <c r="I7" s="10">
        <v>1</v>
      </c>
      <c r="J7" s="10">
        <v>3000</v>
      </c>
      <c r="O7" s="13">
        <v>5</v>
      </c>
      <c r="P7">
        <v>-1</v>
      </c>
      <c r="S7" s="13">
        <v>5</v>
      </c>
      <c r="T7">
        <v>-1</v>
      </c>
    </row>
    <row r="8" spans="1:20" x14ac:dyDescent="0.25">
      <c r="A8" s="6">
        <v>7</v>
      </c>
      <c r="B8" s="7">
        <v>4</v>
      </c>
      <c r="C8" s="7">
        <v>4</v>
      </c>
      <c r="D8" s="7">
        <v>2</v>
      </c>
      <c r="E8" s="7">
        <v>1</v>
      </c>
      <c r="F8" s="7">
        <f t="shared" si="0"/>
        <v>72</v>
      </c>
      <c r="G8" s="7">
        <v>-1</v>
      </c>
      <c r="H8" s="7">
        <f t="shared" si="1"/>
        <v>0</v>
      </c>
      <c r="I8" s="10">
        <v>1</v>
      </c>
      <c r="J8" s="10">
        <v>3000</v>
      </c>
      <c r="O8" s="13">
        <v>6</v>
      </c>
      <c r="P8">
        <v>-1</v>
      </c>
      <c r="S8" s="13">
        <v>6</v>
      </c>
      <c r="T8">
        <v>-1</v>
      </c>
    </row>
    <row r="9" spans="1:20" x14ac:dyDescent="0.25">
      <c r="A9" s="6">
        <v>8</v>
      </c>
      <c r="B9" s="7">
        <v>4</v>
      </c>
      <c r="C9" s="7">
        <v>4</v>
      </c>
      <c r="D9" s="7">
        <v>2</v>
      </c>
      <c r="E9" s="7">
        <v>1</v>
      </c>
      <c r="F9" s="7">
        <f t="shared" si="0"/>
        <v>72</v>
      </c>
      <c r="G9" s="7">
        <v>-1</v>
      </c>
      <c r="H9" s="7">
        <f t="shared" si="1"/>
        <v>0</v>
      </c>
      <c r="I9" s="10">
        <v>1</v>
      </c>
      <c r="J9" s="10">
        <v>3000</v>
      </c>
      <c r="O9" s="13">
        <v>7</v>
      </c>
      <c r="P9">
        <v>-1</v>
      </c>
      <c r="S9" s="13">
        <v>7</v>
      </c>
      <c r="T9">
        <v>-1</v>
      </c>
    </row>
    <row r="10" spans="1:20" x14ac:dyDescent="0.25">
      <c r="A10" s="6">
        <v>9</v>
      </c>
      <c r="B10" s="7">
        <v>4</v>
      </c>
      <c r="C10" s="7">
        <v>2</v>
      </c>
      <c r="D10" s="7">
        <v>2</v>
      </c>
      <c r="E10" s="7">
        <v>1</v>
      </c>
      <c r="F10" s="7">
        <f t="shared" si="0"/>
        <v>72</v>
      </c>
      <c r="G10" s="7">
        <v>2</v>
      </c>
      <c r="H10" s="7">
        <f t="shared" si="1"/>
        <v>2</v>
      </c>
      <c r="I10" s="10">
        <v>1</v>
      </c>
      <c r="J10" s="10">
        <v>3000</v>
      </c>
      <c r="O10" s="13">
        <v>8</v>
      </c>
      <c r="P10">
        <v>-1</v>
      </c>
      <c r="S10" s="13">
        <v>8</v>
      </c>
      <c r="T10">
        <v>-1</v>
      </c>
    </row>
    <row r="11" spans="1:20" x14ac:dyDescent="0.25">
      <c r="A11" s="8">
        <v>10</v>
      </c>
      <c r="B11" s="9">
        <v>3</v>
      </c>
      <c r="C11" s="9">
        <v>3</v>
      </c>
      <c r="D11" s="9">
        <v>2</v>
      </c>
      <c r="E11" s="9">
        <v>1</v>
      </c>
      <c r="F11" s="9">
        <f t="shared" si="0"/>
        <v>72</v>
      </c>
      <c r="G11" s="9">
        <v>-1</v>
      </c>
      <c r="H11" s="7">
        <f t="shared" si="1"/>
        <v>0</v>
      </c>
      <c r="I11" s="11">
        <v>1</v>
      </c>
      <c r="J11" s="11">
        <v>3000</v>
      </c>
      <c r="O11" s="15">
        <v>9</v>
      </c>
      <c r="P11" s="16">
        <v>2</v>
      </c>
      <c r="S11" s="15">
        <v>9</v>
      </c>
      <c r="T11" s="16">
        <v>2</v>
      </c>
    </row>
    <row r="12" spans="1:20" x14ac:dyDescent="0.25">
      <c r="O12" s="13">
        <v>10</v>
      </c>
      <c r="P12">
        <v>-1</v>
      </c>
      <c r="S12" s="15">
        <v>10</v>
      </c>
      <c r="T12" s="16">
        <v>7</v>
      </c>
    </row>
  </sheetData>
  <sortState xmlns:xlrd2="http://schemas.microsoft.com/office/spreadsheetml/2017/richdata2" ref="A2:J31">
    <sortCondition ref="D2:D31"/>
  </sortState>
  <mergeCells count="2">
    <mergeCell ref="O1:P1"/>
    <mergeCell ref="S1:T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PrivateLines</vt:lpstr>
      <vt:lpstr>Spans</vt:lpstr>
      <vt:lpstr>ActivityData</vt:lpstr>
      <vt:lpstr>ActivityData</vt:lpstr>
      <vt:lpstr>PrivateLines</vt:lpstr>
      <vt:lpstr>Spans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2024-03-04T02:48:09Z</dcterms:modified>
</cp:coreProperties>
</file>